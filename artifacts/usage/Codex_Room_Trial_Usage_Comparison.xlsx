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9314cfaaa94c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ial Comparison" sheetId="1" r:id="R1381fb3b83744c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.0%"/>
    <x:numFmt numFmtId="202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3ffbf24b444f1d" /><Relationship Type="http://schemas.openxmlformats.org/officeDocument/2006/relationships/theme" Target="/xl/theme/theme1.xml" Id="R535744bd7e22400b" /><Relationship Type="http://schemas.openxmlformats.org/officeDocument/2006/relationships/sharedStrings" Target="/xl/sharedStrings.xml" Id="R5d462b1059bb4453" /><Relationship Type="http://schemas.openxmlformats.org/officeDocument/2006/relationships/worksheet" Target="/xl/worksheets/sheet1.xml" Id="R1381fb3b83744c7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27c0108fa37458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Total Execution Tokens by Trial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Total Execution Tokens</c:v>
          </c:tx>
          <c:cat>
            <c:strRef>
              <c:f>'Trial Comparison'!$A$2:$A$5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'Trial Comparison'!$I$2:$I$5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7c0108fa37458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3908ec69b2e4fda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9" hidden="0" customWidth="1"/>
    <x:col min="4" max="4" width="11" hidden="0" customWidth="1"/>
    <x:col min="5" max="5" width="15" hidden="0" customWidth="1"/>
    <x:col min="6" max="6" width="15" hidden="0" customWidth="1"/>
    <x:col min="7" max="7" width="14" hidden="0" customWidth="1"/>
    <x:col min="8" max="8" width="16" hidden="0" customWidth="1"/>
    <x:col min="9" max="9" width="20" hidden="0" customWidth="1"/>
    <x:col min="10" max="10" width="15" hidden="0" customWidth="1"/>
    <x:col min="11" max="11" width="15" hidden="0" customWidth="1"/>
    <x:col min="12" max="12" width="15" hidden="0" customWidth="1"/>
    <x:col min="13" max="13" width="18" hidden="0" customWidth="1"/>
    <x:col min="14" max="14" width="38" hidden="0" customWidth="1"/>
    <x:col min="15" max="15" width="17" hidden="0" customWidth="1"/>
    <x:col min="16" max="16" width="15" hidden="0" customWidth="1"/>
    <x:col min="17" max="17" width="15" hidden="0" customWidth="1"/>
    <x:col min="18" max="18" width="14" hidden="0" customWidth="1"/>
    <x:col min="19" max="19" width="19" hidden="0" customWidth="1"/>
  </x:cols>
  <x:sheetData>
    <x:row r="1">
      <x:c r="A1" s="6" t="str">
        <x:v>Trial</x:v>
      </x:c>
      <x:c r="B1" s="6" t="str">
        <x:v>Source Export</x:v>
      </x:c>
      <x:c r="C1" s="6" t="str">
        <x:v>Turns</x:v>
      </x:c>
      <x:c r="D1" s="6" t="str">
        <x:v>Executions</x:v>
      </x:c>
      <x:c r="E1" s="6" t="str">
        <x:v>Input Tokens</x:v>
      </x:c>
      <x:c r="F1" s="6" t="str">
        <x:v>Cached Input</x:v>
      </x:c>
      <x:c r="G1" s="6" t="str">
        <x:v>Output Tokens</x:v>
      </x:c>
      <x:c r="H1" s="6" t="str">
        <x:v>Reasoning Tokens</x:v>
      </x:c>
      <x:c r="I1" s="6" t="str">
        <x:v>Total Execution Tokens</x:v>
      </x:c>
      <x:c r="J1" s="6" t="str">
        <x:v>Agent A Tokens</x:v>
      </x:c>
      <x:c r="K1" s="6" t="str">
        <x:v>Agent B Tokens</x:v>
      </x:c>
      <x:c r="L1" s="6" t="str">
        <x:v>Agent C Tokens</x:v>
      </x:c>
      <x:c r="M1" s="6" t="str">
        <x:v>Observed 5-Hour Usage</x:v>
      </x:c>
      <x:c r="N1" s="6" t="str">
        <x:v>Execution Configurations</x:v>
      </x:c>
      <x:c r="O1" s="6" t="str">
        <x:v>Tokens / Execution</x:v>
      </x:c>
      <x:c r="P1" s="6" t="str">
        <x:v>Tokens / Turn</x:v>
      </x:c>
      <x:c r="Q1" s="6" t="str">
        <x:v>Vs Mixed Tokens</x:v>
      </x:c>
      <x:c r="R1" s="6" t="str">
        <x:v>Cached Share</x:v>
      </x:c>
      <x:c r="S1" s="30" t="str">
        <x:v>Tokens / Usage Point</x:v>
      </x:c>
    </x:row>
    <x:row r="2">
      <x:c r="A2" s="16" t="str">
        <x:v>Free Trial</x:v>
      </x:c>
      <x:c r="B2" s="16" t="str">
        <x:v>Free-Trial (3).json</x:v>
      </x:c>
      <x:c r="C2" s="16" t="n">
        <x:v>20</x:v>
      </x:c>
      <x:c r="D2" s="16" t="n">
        <x:v>20</x:v>
      </x:c>
      <x:c r="E2" s="22" t="n">
        <x:v>736973</x:v>
      </x:c>
      <x:c r="F2" s="22" t="n">
        <x:v>428032</x:v>
      </x:c>
      <x:c r="G2" s="22" t="n">
        <x:v>13714</x:v>
      </x:c>
      <x:c r="H2" s="22" t="n">
        <x:v>4728</x:v>
      </x:c>
      <x:c r="I2" s="22" t="n">
        <x:v>750687</x:v>
      </x:c>
      <x:c r="J2" s="22" t="n">
        <x:v>140712</x:v>
      </x:c>
      <x:c r="K2" s="22" t="n">
        <x:v>146402</x:v>
      </x:c>
      <x:c r="L2" s="22" t="n">
        <x:v>463573</x:v>
      </x:c>
      <x:c r="M2" s="18" t="n">
        <x:v>0.1</x:v>
      </x:c>
      <x:c r="N2" s="16" t="str">
        <x:v>terra-medium × 1; sol-high × 8</x:v>
      </x:c>
      <x:c r="O2" s="22" t="n">
        <x:f>I2/D2</x:f>
        <x:v>37534.35</x:v>
      </x:c>
      <x:c r="P2" s="22" t="n">
        <x:f>I2/C2</x:f>
        <x:v>37534.35</x:v>
      </x:c>
      <x:c r="Q2" s="20" t="n">
        <x:f>I2/$I$5-1</x:f>
        <x:v>0.29162006751571745</x:v>
      </x:c>
      <x:c r="R2" s="20" t="n">
        <x:f>F2/E2</x:f>
        <x:v>0.5807973969195614</x:v>
      </x:c>
      <x:c r="S2" s="31" t="n">
        <x:f>I2/(M2*100)</x:f>
        <x:v>75068.7</x:v>
      </x:c>
    </x:row>
    <x:row r="3">
      <x:c r="A3" s="16" t="str">
        <x:v>Sol Trial</x:v>
      </x:c>
      <x:c r="B3" s="16" t="str">
        <x:v>Sol-Trial (1).json</x:v>
      </x:c>
      <x:c r="C3" s="16" t="n">
        <x:v>20</x:v>
      </x:c>
      <x:c r="D3" s="16" t="n">
        <x:v>20</x:v>
      </x:c>
      <x:c r="E3" s="22" t="n">
        <x:v>716688</x:v>
      </x:c>
      <x:c r="F3" s="22" t="n">
        <x:v>452480</x:v>
      </x:c>
      <x:c r="G3" s="22" t="n">
        <x:v>13916</x:v>
      </x:c>
      <x:c r="H3" s="22" t="n">
        <x:v>3102</x:v>
      </x:c>
      <x:c r="I3" s="22" t="n">
        <x:v>730604</x:v>
      </x:c>
      <x:c r="J3" s="22" t="n">
        <x:v>133893</x:v>
      </x:c>
      <x:c r="K3" s="22" t="n">
        <x:v>139047</x:v>
      </x:c>
      <x:c r="L3" s="22" t="n">
        <x:v>457664</x:v>
      </x:c>
      <x:c r="M3" s="18" t="n">
        <x:v>0.2</x:v>
      </x:c>
      <x:c r="N3" s="16" t="str">
        <x:v>sol-medium × 9</x:v>
      </x:c>
      <x:c r="O3" s="22" t="n">
        <x:f>I3/D3</x:f>
        <x:v>36530.2</x:v>
      </x:c>
      <x:c r="P3" s="22" t="n">
        <x:f>I3/C3</x:f>
        <x:v>36530.2</x:v>
      </x:c>
      <x:c r="Q3" s="20" t="n">
        <x:f>I3/$I$5-1</x:f>
        <x:v>0.2570655783399116</x:v>
      </x:c>
      <x:c r="R3" s="20" t="n">
        <x:f>F3/E3</x:f>
        <x:v>0.6313486482262853</x:v>
      </x:c>
      <x:c r="S3" s="31" t="n">
        <x:f>I3/(M3*100)</x:f>
        <x:v>36530.2</x:v>
      </x:c>
    </x:row>
    <x:row r="4">
      <x:c r="A4" s="16" t="str">
        <x:v>Astra Trial</x:v>
      </x:c>
      <x:c r="B4" s="16" t="str">
        <x:v>Astra-Trial (1) (1).json</x:v>
      </x:c>
      <x:c r="C4" s="16" t="n">
        <x:v>19</x:v>
      </x:c>
      <x:c r="D4" s="16" t="n">
        <x:v>19</x:v>
      </x:c>
      <x:c r="E4" s="22" t="n">
        <x:v>726891</x:v>
      </x:c>
      <x:c r="F4" s="22" t="n">
        <x:v>470784</x:v>
      </x:c>
      <x:c r="G4" s="22" t="n">
        <x:v>10644</x:v>
      </x:c>
      <x:c r="H4" s="22" t="n">
        <x:v>594</x:v>
      </x:c>
      <x:c r="I4" s="22" t="n">
        <x:v>737535</x:v>
      </x:c>
      <x:c r="J4" s="22" t="n">
        <x:v>140531</x:v>
      </x:c>
      <x:c r="K4" s="22" t="n">
        <x:v>143692</x:v>
      </x:c>
      <x:c r="L4" s="22" t="n">
        <x:v>453312</x:v>
      </x:c>
      <x:c r="M4" s="18" t="n">
        <x:v>0.1</x:v>
      </x:c>
      <x:c r="N4" s="16" t="str">
        <x:v>sol-medium × 1; astra-medium × 8</x:v>
      </x:c>
      <x:c r="O4" s="22" t="n">
        <x:f>I4/D4</x:f>
        <x:v>38817.63157894737</x:v>
      </x:c>
      <x:c r="P4" s="22" t="n">
        <x:f>I4/C4</x:f>
        <x:v>38817.63157894737</x:v>
      </x:c>
      <x:c r="Q4" s="20" t="n">
        <x:f>I4/$I$5-1</x:f>
        <x:v>0.26899094628680764</x:v>
      </x:c>
      <x:c r="R4" s="20" t="n">
        <x:f>F4/E4</x:f>
        <x:v>0.647667944712481</x:v>
      </x:c>
      <x:c r="S4" s="31" t="n">
        <x:f>I4/(M4*100)</x:f>
        <x:v>73753.5</x:v>
      </x:c>
    </x:row>
    <x:row r="5">
      <x:c r="A5" s="16" t="str">
        <x:v>Mixed Trial</x:v>
      </x:c>
      <x:c r="B5" s="16" t="str">
        <x:v>Mixed-Trial.json</x:v>
      </x:c>
      <x:c r="C5" s="16" t="n">
        <x:v>17</x:v>
      </x:c>
      <x:c r="D5" s="16" t="n">
        <x:v>17</x:v>
      </x:c>
      <x:c r="E5" s="22" t="n">
        <x:v>565413</x:v>
      </x:c>
      <x:c r="F5" s="22" t="n">
        <x:v>255232</x:v>
      </x:c>
      <x:c r="G5" s="22" t="n">
        <x:v>15785</x:v>
      </x:c>
      <x:c r="H5" s="22" t="n">
        <x:v>6476</x:v>
      </x:c>
      <x:c r="I5" s="22" t="n">
        <x:v>581198</x:v>
      </x:c>
      <x:c r="J5" s="22" t="n">
        <x:v>137958</x:v>
      </x:c>
      <x:c r="K5" s="22" t="n">
        <x:v>98042</x:v>
      </x:c>
      <x:c r="L5" s="22" t="n">
        <x:v>345198</x:v>
      </x:c>
      <x:c r="M5" s="18" t="n">
        <x:v>0.1</x:v>
      </x:c>
      <x:c r="N5" s="16" t="str">
        <x:v>terra-medium × 2; luna-low × 1; luna-medium × 1; sol-high × 4</x:v>
      </x:c>
      <x:c r="O5" s="22" t="n">
        <x:f>I5/D5</x:f>
        <x:v>34188.117647058825</x:v>
      </x:c>
      <x:c r="P5" s="22" t="n">
        <x:f>I5/C5</x:f>
        <x:v>34188.117647058825</x:v>
      </x:c>
      <x:c r="Q5" s="20" t="n">
        <x:f>I5/$I$5-1</x:f>
        <x:v>0</x:v>
      </x:c>
      <x:c r="R5" s="20" t="n">
        <x:f>F5/E5</x:f>
        <x:v>0.45140808577093205</x:v>
      </x:c>
      <x:c r="S5" s="31" t="n">
        <x:f>I5/(M5*100)</x:f>
        <x:v>58119.8</x:v>
      </x:c>
    </x:row>
    <x:row r="8">
      <x:c r="A8" s="13" t="str">
        <x:v>Notes</x:v>
      </x:c>
      <x:c r="B8" s="24" t="str"/>
      <x:c r="C8" s="24" t="str"/>
      <x:c r="D8" s="24" t="str"/>
      <x:c r="E8" s="24" t="str"/>
      <x:c r="F8" s="24" t="str"/>
    </x:row>
    <x:row r="9">
      <x:c r="A9" t="str">
        <x:v>Observed 5-Hour Usage</x:v>
      </x:c>
      <x:c r="B9" s="16" t="str">
        <x:v>Observed values reported during the runs: Free Trial 10%; Sol Trial 20%; Astra Trial 10%; Mixed Trial 10%.</x:v>
      </x:c>
      <x:c r="C9" s="16" t="str"/>
      <x:c r="D9" s="16" t="str"/>
      <x:c r="E9" s="16" t="str"/>
      <x:c r="F9" s="16" t="str"/>
    </x:row>
    <x:row r="10">
      <x:c r="A10" t="str">
        <x:v>Token definition</x:v>
      </x:c>
      <x:c r="B10" s="16" t="str">
        <x:v>Totals are sums of unique execution_economics usage_delta records in each export; they are execution tokens, not account-usage percentages.</x:v>
      </x:c>
      <x:c r="C10" s="16" t="str"/>
      <x:c r="D10" s="16" t="str"/>
      <x:c r="E10" s="16" t="str"/>
      <x:c r="F10" s="16" t="str"/>
    </x:row>
    <x:row r="11">
      <x:c r="A11" t="str">
        <x:v>Comparability</x:v>
      </x:c>
      <x:c r="B11" s="16" t="str">
        <x:v>Account usage is not expected to scale linearly with raw tokens because model and reasoning-effort mix differ by trial.</x:v>
      </x:c>
      <x:c r="C11" s="16" t="str"/>
      <x:c r="D11" s="16" t="str"/>
      <x:c r="E11" s="16" t="str"/>
      <x:c r="F11" s="16" t="str"/>
    </x:row>
    <x:row r="12">
      <x:c r="A12" t="str">
        <x:v>Mixed allocation</x:v>
      </x:c>
      <x:c r="B12" s="16" t="str">
        <x:v>Luna-Low → Luna-Medium → Terra-Medium → Sol-High for delegated stages; C coordination used Terra-Medium.</x:v>
      </x:c>
      <x:c r="C12" s="16" t="str"/>
      <x:c r="D12" s="16" t="str"/>
      <x:c r="E12" s="16" t="str"/>
      <x:c r="F12" s="16" t="str"/>
    </x:row>
  </x:sheetData>
  <x:mergeCells>
    <x:mergeCell ref="A8:F8"/>
    <x:mergeCell ref="B9:F9"/>
    <x:mergeCell ref="B10:F10"/>
    <x:mergeCell ref="B11:F11"/>
    <x:mergeCell ref="B12:F12"/>
  </x:mergeCells>
  <x:conditionalFormatting sqref="I2:I5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{CD711C8C-86DD-7AE1-F434-CCA73B674CBE}</x14:id>
        </x:ext>
      </x:extLst>
    </x:cfRule>
  </x:conditionalFormatting>
  <x:conditionalFormatting sqref="M2:M5">
    <x:cfRule type="dataBar" priority="2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{E62000A3-0E08-0453-0DF0-6FCBBD7783CA}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c3908ec69b2e4fda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D711C8C-86DD-7AE1-F434-CCA73B674CBE}">
            <x14:dataBar gradient="1">
              <x14:cfvo type="min"/>
              <x14:cfvo type="max"/>
              <x14:fillColor rgb="FFA02B93"/>
            </x14:dataBar>
          </x14:cfRule>
          <xm:sqref>I2:I5</xm:sqref>
        </x14:conditionalFormatting>
        <x14:conditionalFormatting>
          <x14:cfRule type="dataBar" priority="2" id="{E62000A3-0E08-0453-0DF0-6FCBBD7783CA}">
            <x14:dataBar gradient="1">
              <x14:cfvo type="min"/>
              <x14:cfvo type="max"/>
              <x14:fillColor rgb="FF0F9ED5"/>
            </x14:dataBar>
          </x14:cfRule>
          <xm:sqref>M2:M5</xm:sqref>
        </x14:conditionalFormatting>
      </x14:conditionalFormattings>
    </x:ext>
  </x:extLst>
</x:worksheet>
</file>